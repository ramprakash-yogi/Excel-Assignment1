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ip\Downloads\"/>
    </mc:Choice>
  </mc:AlternateContent>
  <xr:revisionPtr revIDLastSave="0" documentId="8_{369D2BDC-9793-4161-AB13-EB5E96FB2F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N11" i="1" l="1"/>
  <c r="N10" i="1"/>
  <c r="N9" i="1"/>
  <c r="N8" i="1"/>
  <c r="N7" i="1"/>
  <c r="N6" i="1"/>
  <c r="N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<sst xmlns="http://schemas.openxmlformats.org/spreadsheetml/2006/main" count="155" uniqueCount="106">
  <si>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</si>
  <si>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</si>
  <si>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</si>
  <si>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</si>
  <si>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</si>
  <si>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</si>
  <si>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</si>
  <si>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</si>
  <si>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</si>
  <si>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</si>
  <si>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</si>
  <si>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</si>
  <si>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</si>
  <si>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</si>
  <si>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</si>
  <si>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</si>
  <si>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</si>
  <si>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</si>
  <si>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</si>
  <si>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</si>
  <si>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</si>
  <si>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</si>
  <si>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</si>
  <si>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</si>
  <si>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</si>
  <si>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</si>
  <si>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</si>
  <si>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</si>
  <si>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</si>
  <si>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</si>
  <si>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</si>
  <si>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</si>
  <si>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</si>
  <si>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</si>
  <si>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</si>
  <si>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</si>
  <si>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</si>
  <si>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</si>
  <si>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</si>
  <si>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</si>
  <si>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</si>
  <si>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</si>
  <si>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</si>
  <si>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</si>
  <si>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</si>
  <si>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</si>
  <si>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</si>
  <si>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</si>
  <si>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</si>
  <si>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</si>
  <si>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</si>
  <si>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</si>
  <si>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</si>
  <si>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</si>
  <si>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</si>
  <si>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</si>
  <si>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</si>
  <si>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</si>
  <si>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</si>
  <si>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</si>
  <si>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</si>
  <si>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</si>
  <si>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</si>
  <si>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</si>
  <si>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</si>
  <si>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</si>
  <si>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</si>
  <si>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</si>
  <si>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</si>
  <si>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</si>
  <si>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</si>
  <si>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</si>
  <si>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</si>
  <si>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</si>
  <si>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</si>
  <si>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</si>
  <si>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</si>
  <si>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</si>
  <si>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</si>
  <si>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</si>
  <si>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</si>
  <si>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</si>
  <si>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</si>
  <si>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</si>
  <si>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</si>
  <si>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</si>
  <si>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</si>
  <si>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</si>
  <si>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</si>
  <si>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</si>
  <si>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</si>
  <si>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</si>
  <si>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</si>
  <si>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</si>
  <si>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Date</t>
  </si>
  <si>
    <t>Country Code</t>
  </si>
  <si>
    <t>Month</t>
  </si>
  <si>
    <t>Total Price of all Product</t>
  </si>
  <si>
    <t>Number Of Product</t>
  </si>
  <si>
    <t>Average Price</t>
  </si>
  <si>
    <t xml:space="preserve">Minimum Price </t>
  </si>
  <si>
    <t>Maximum Price</t>
  </si>
  <si>
    <t>Electronincs Category Total Price</t>
  </si>
  <si>
    <t>Product Below $100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</si>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</sst>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5CA40-1C6A-4F22-ADA4-ACCE4736C368}" name="Table1" displayName="Table1" ref="M4:N11" totalsRowShown="0">
  <autoFilter ref="M4:N11" xr:uid="{4FE5CA40-1C6A-4F22-ADA4-ACCE4736C368}"/>
  <tableColumns count="2">
    <tableColumn id="1" xr3:uid="{A573867B-609D-48D4-8C0F-D9C50F651310}" name="Column1" dataDxfId="2"/>
    <tableColumn id="2" xr3:uid="{6D74E8A4-7F08-49DA-8D2D-4FA713F531A4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86E90F-61CD-4754-A35B-D57EBE4EDB03}" name="Table2" displayName="Table2" ref="G1:J35" totalsRowShown="0" headerRowDxfId="0">
  <autoFilter ref="G1:J35" xr:uid="{7586E90F-61CD-4754-A35B-D57EBE4EDB03}"/>
  <tableColumns count="4">
    <tableColumn id="1" xr3:uid="{B3E4A0F2-A780-4B5D-A8EF-51187044CC3E}" name="Price Range" dataDxfId="1">
      <calculatedColumnFormula>IF(D2&gt;=500,"High Price","Standard Price")</calculatedColumnFormula>
    </tableColumn>
    <tableColumn id="2" xr3:uid="{68B308B7-CCA9-44F0-83A6-951F37591D43}" name="Date">
      <calculatedColumnFormula>LEFT(A2,2)</calculatedColumnFormula>
    </tableColumn>
    <tableColumn id="3" xr3:uid="{881E51F8-2DF2-4A1A-BE9F-460FF3446D5C}" name="Month">
      <calculatedColumnFormula>MID(A2,4,3)</calculatedColumnFormula>
    </tableColumn>
    <tableColumn id="4" xr3:uid="{2A4BD7C9-BF27-457A-9AC3-CD3C39E14C19}" name="Country Code">
      <calculatedColumnFormula>RIGHT(A2,2)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selection activeCell="K1" sqref="K1"/>
    </sheetView>
  </sheetViews>
  <sheetFormatPr defaultColWidth="12.6328125" defaultRowHeight="15" customHeight="1" x14ac:dyDescent="0.25"/>
  <cols>
    <col min="2" max="2" width="14.08984375" customWidth="1"/>
    <col min="7" max="7" width="13.1796875" customWidth="1"/>
    <col min="10" max="10" width="14.7265625" customWidth="1"/>
    <col min="11" max="11" width="21.81640625" customWidth="1"/>
    <col min="13" max="13" width="31.17968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93</v>
      </c>
      <c r="H1" s="1" t="s">
        <v>94</v>
      </c>
      <c r="I1" s="1" t="s">
        <v>96</v>
      </c>
      <c r="J1" s="1" t="s">
        <v>95</v>
      </c>
    </row>
    <row r="2" spans="1:14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" t="str">
        <f>IF(D2&gt;=500,"High Price","Standard Price")</f>
        <v>High Price</v>
      </c>
      <c r="H2" t="str">
        <f>LEFT(A2,2)</f>
        <v>28</v>
      </c>
      <c r="I2" t="str">
        <f>MID(A2,4,3)</f>
        <v>JAN</v>
      </c>
      <c r="J2" t="str">
        <f>RIGHT(A2,2)</f>
        <v>US</v>
      </c>
    </row>
    <row r="3" spans="1:14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MID(A3,4,3)</f>
        <v>FEB</v>
      </c>
      <c r="J3" t="str">
        <f t="shared" ref="J3:J35" si="3">RIGHT(A3,2)</f>
        <v>US</v>
      </c>
    </row>
    <row r="4" spans="1:14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 t="str">
        <f t="shared" si="0"/>
        <v>Standard Price</v>
      </c>
      <c r="H4" t="str">
        <f t="shared" si="1"/>
        <v>03</v>
      </c>
      <c r="I4" t="str">
        <f t="shared" si="2"/>
        <v>MAR</v>
      </c>
      <c r="J4" t="str">
        <f t="shared" si="3"/>
        <v>US</v>
      </c>
      <c r="M4" s="5" t="s">
        <v>104</v>
      </c>
      <c r="N4" t="s">
        <v>105</v>
      </c>
    </row>
    <row r="5" spans="1:14" ht="15.75" customHeight="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 t="str">
        <f t="shared" si="0"/>
        <v>High Price</v>
      </c>
      <c r="H5" t="str">
        <f t="shared" si="1"/>
        <v>11</v>
      </c>
      <c r="I5" t="str">
        <f t="shared" si="2"/>
        <v>APR</v>
      </c>
      <c r="J5" t="str">
        <f t="shared" si="3"/>
        <v>US</v>
      </c>
      <c r="M5" s="5" t="s">
        <v>97</v>
      </c>
      <c r="N5">
        <f>SUM(D2:D35)</f>
        <v>10100</v>
      </c>
    </row>
    <row r="6" spans="1:14" ht="15.75" customHeight="1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 t="str">
        <f t="shared" si="0"/>
        <v>Standard Price</v>
      </c>
      <c r="H6" t="str">
        <f t="shared" si="1"/>
        <v>22</v>
      </c>
      <c r="I6" t="str">
        <f t="shared" si="2"/>
        <v>MAY</v>
      </c>
      <c r="J6" t="str">
        <f t="shared" si="3"/>
        <v>US</v>
      </c>
      <c r="M6" s="5" t="s">
        <v>98</v>
      </c>
      <c r="N6">
        <f>COUNTA(_xlfn.UNIQUE(B2:B35))</f>
        <v>21</v>
      </c>
    </row>
    <row r="7" spans="1:14" ht="15.75" customHeight="1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 t="str">
        <f t="shared" si="0"/>
        <v>Standard Price</v>
      </c>
      <c r="H7" t="str">
        <f t="shared" si="1"/>
        <v>07</v>
      </c>
      <c r="I7" t="str">
        <f t="shared" si="2"/>
        <v>JUN</v>
      </c>
      <c r="J7" t="str">
        <f t="shared" si="3"/>
        <v>UK</v>
      </c>
      <c r="M7" s="5" t="s">
        <v>99</v>
      </c>
      <c r="N7">
        <f>AVERAGE(E2:E35)</f>
        <v>26.470588235294116</v>
      </c>
    </row>
    <row r="8" spans="1:14" ht="15.75" customHeight="1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 t="str">
        <f t="shared" si="0"/>
        <v>Standard Price</v>
      </c>
      <c r="H8" t="str">
        <f t="shared" si="1"/>
        <v>19</v>
      </c>
      <c r="I8" t="str">
        <f t="shared" si="2"/>
        <v>JUL</v>
      </c>
      <c r="J8" t="str">
        <f t="shared" si="3"/>
        <v>UK</v>
      </c>
      <c r="M8" s="5" t="s">
        <v>100</v>
      </c>
      <c r="N8">
        <f>MIN(D2:D35)</f>
        <v>30</v>
      </c>
    </row>
    <row r="9" spans="1:14" ht="15.75" customHeight="1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 t="str">
        <f t="shared" si="0"/>
        <v>Standard Price</v>
      </c>
      <c r="H9" t="str">
        <f t="shared" si="1"/>
        <v>23</v>
      </c>
      <c r="I9" t="str">
        <f t="shared" si="2"/>
        <v>AUG</v>
      </c>
      <c r="J9" t="str">
        <f t="shared" si="3"/>
        <v>UK</v>
      </c>
      <c r="M9" s="5" t="s">
        <v>101</v>
      </c>
      <c r="N9">
        <f>MAX(D2:D35)</f>
        <v>1000</v>
      </c>
    </row>
    <row r="10" spans="1:14" ht="15.75" customHeight="1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 t="str">
        <f t="shared" si="0"/>
        <v>High Price</v>
      </c>
      <c r="H10" t="str">
        <f t="shared" si="1"/>
        <v>05</v>
      </c>
      <c r="I10" t="str">
        <f t="shared" si="2"/>
        <v>SEP</v>
      </c>
      <c r="J10" t="str">
        <f t="shared" si="3"/>
        <v>UK</v>
      </c>
      <c r="M10" s="5" t="s">
        <v>102</v>
      </c>
      <c r="N10">
        <f>SUMIF(F2:F35,"Electronics",D2:D35)</f>
        <v>8050</v>
      </c>
    </row>
    <row r="11" spans="1:14" ht="15.75" customHeight="1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 t="str">
        <f t="shared" si="0"/>
        <v>Standard Price</v>
      </c>
      <c r="H11" t="str">
        <f t="shared" si="1"/>
        <v>14</v>
      </c>
      <c r="I11" t="str">
        <f t="shared" si="2"/>
        <v>OCT</v>
      </c>
      <c r="J11" t="str">
        <f t="shared" si="3"/>
        <v>UK</v>
      </c>
      <c r="M11" s="5" t="s">
        <v>103</v>
      </c>
      <c r="N11">
        <f>COUNTIF(D2:D35,"&lt;100")</f>
        <v>11</v>
      </c>
    </row>
    <row r="12" spans="1:14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 t="str">
        <f t="shared" si="0"/>
        <v>High Price</v>
      </c>
      <c r="H12" t="str">
        <f t="shared" si="1"/>
        <v>17</v>
      </c>
      <c r="I12" t="str">
        <f t="shared" si="2"/>
        <v>JUN</v>
      </c>
      <c r="J12" t="str">
        <f t="shared" si="3"/>
        <v>IN</v>
      </c>
    </row>
    <row r="13" spans="1:14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 t="str">
        <f t="shared" si="0"/>
        <v>Standard Price</v>
      </c>
      <c r="H13" t="str">
        <f t="shared" si="1"/>
        <v>25</v>
      </c>
      <c r="I13" t="str">
        <f t="shared" si="2"/>
        <v>NOV</v>
      </c>
      <c r="J13" t="str">
        <f t="shared" si="3"/>
        <v>AU</v>
      </c>
    </row>
    <row r="14" spans="1:14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 t="str">
        <f t="shared" si="0"/>
        <v>Standard Price</v>
      </c>
      <c r="H14" t="str">
        <f t="shared" si="1"/>
        <v>08</v>
      </c>
      <c r="I14" t="str">
        <f t="shared" si="2"/>
        <v>DEC</v>
      </c>
      <c r="J14" t="str">
        <f t="shared" si="3"/>
        <v>DE</v>
      </c>
    </row>
    <row r="15" spans="1:14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 t="str">
        <f t="shared" si="0"/>
        <v>Standard Price</v>
      </c>
      <c r="H15" t="str">
        <f t="shared" si="1"/>
        <v>18</v>
      </c>
      <c r="I15" t="str">
        <f t="shared" si="2"/>
        <v>FEB</v>
      </c>
      <c r="J15" t="str">
        <f t="shared" si="3"/>
        <v>CA</v>
      </c>
    </row>
    <row r="16" spans="1:14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 t="str">
        <f t="shared" si="0"/>
        <v>Standard Price</v>
      </c>
      <c r="H16" t="str">
        <f t="shared" si="1"/>
        <v>16</v>
      </c>
      <c r="I16" t="str">
        <f t="shared" si="2"/>
        <v>APR</v>
      </c>
      <c r="J16" t="str">
        <f t="shared" si="3"/>
        <v>ES</v>
      </c>
    </row>
    <row r="17" spans="1:10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 t="str">
        <f t="shared" si="0"/>
        <v>Standard Price</v>
      </c>
      <c r="H17" t="str">
        <f t="shared" si="1"/>
        <v>21</v>
      </c>
      <c r="I17" t="str">
        <f t="shared" si="2"/>
        <v>AUG</v>
      </c>
      <c r="J17" t="str">
        <f t="shared" si="3"/>
        <v>CA</v>
      </c>
    </row>
    <row r="18" spans="1:10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 t="str">
        <f t="shared" si="0"/>
        <v>Standard Price</v>
      </c>
      <c r="H18" t="str">
        <f t="shared" si="1"/>
        <v>20</v>
      </c>
      <c r="I18" t="str">
        <f t="shared" si="2"/>
        <v>AUG</v>
      </c>
      <c r="J18" t="str">
        <f t="shared" si="3"/>
        <v>CN</v>
      </c>
    </row>
    <row r="19" spans="1:10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 t="str">
        <f t="shared" si="0"/>
        <v>High Price</v>
      </c>
      <c r="H19" t="str">
        <f t="shared" si="1"/>
        <v>27</v>
      </c>
      <c r="I19" t="str">
        <f t="shared" si="2"/>
        <v>JAN</v>
      </c>
      <c r="J19" t="str">
        <f t="shared" si="3"/>
        <v>IT</v>
      </c>
    </row>
    <row r="20" spans="1:10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 t="str">
        <f t="shared" si="0"/>
        <v>Standard Price</v>
      </c>
      <c r="H20" t="str">
        <f t="shared" si="1"/>
        <v>01</v>
      </c>
      <c r="I20" t="str">
        <f t="shared" si="2"/>
        <v>MAR</v>
      </c>
      <c r="J20" t="str">
        <f t="shared" si="3"/>
        <v>UK</v>
      </c>
    </row>
    <row r="21" spans="1:10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 t="str">
        <f t="shared" si="0"/>
        <v>Standard Price</v>
      </c>
      <c r="H21" t="str">
        <f t="shared" si="1"/>
        <v>14</v>
      </c>
      <c r="I21" t="str">
        <f t="shared" si="2"/>
        <v>AUG</v>
      </c>
      <c r="J21" t="str">
        <f t="shared" si="3"/>
        <v>US</v>
      </c>
    </row>
    <row r="22" spans="1:10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 t="str">
        <f t="shared" si="0"/>
        <v>High Price</v>
      </c>
      <c r="H22" t="str">
        <f t="shared" si="1"/>
        <v>14</v>
      </c>
      <c r="I22" t="str">
        <f t="shared" si="2"/>
        <v>MAY</v>
      </c>
      <c r="J22" t="str">
        <f t="shared" si="3"/>
        <v>RU</v>
      </c>
    </row>
    <row r="23" spans="1:10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 t="str">
        <f t="shared" si="0"/>
        <v>Standard Price</v>
      </c>
      <c r="H23" t="str">
        <f t="shared" si="1"/>
        <v>09</v>
      </c>
      <c r="I23" t="str">
        <f t="shared" si="2"/>
        <v>JAN</v>
      </c>
      <c r="J23" t="str">
        <f t="shared" si="3"/>
        <v>CA</v>
      </c>
    </row>
    <row r="24" spans="1:10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 t="str">
        <f t="shared" si="0"/>
        <v>Standard Price</v>
      </c>
      <c r="H24" t="str">
        <f t="shared" si="1"/>
        <v>19</v>
      </c>
      <c r="I24" t="str">
        <f t="shared" si="2"/>
        <v>JUL</v>
      </c>
      <c r="J24" t="str">
        <f t="shared" si="3"/>
        <v>BR</v>
      </c>
    </row>
    <row r="25" spans="1:10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" t="str">
        <f t="shared" si="0"/>
        <v>Standard Price</v>
      </c>
      <c r="H25" t="str">
        <f t="shared" si="1"/>
        <v>21</v>
      </c>
      <c r="I25" t="str">
        <f t="shared" si="2"/>
        <v>AUG</v>
      </c>
      <c r="J25" t="str">
        <f t="shared" si="3"/>
        <v>CA</v>
      </c>
    </row>
    <row r="26" spans="1:10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 t="str">
        <f t="shared" si="0"/>
        <v>High Price</v>
      </c>
      <c r="H26" t="str">
        <f t="shared" si="1"/>
        <v>29</v>
      </c>
      <c r="I26" t="str">
        <f t="shared" si="2"/>
        <v>SEP</v>
      </c>
      <c r="J26" t="str">
        <f t="shared" si="3"/>
        <v>CA</v>
      </c>
    </row>
    <row r="27" spans="1:10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 t="str">
        <f t="shared" si="0"/>
        <v>Standard Price</v>
      </c>
      <c r="H27" t="str">
        <f t="shared" si="1"/>
        <v>03</v>
      </c>
      <c r="I27" t="str">
        <f t="shared" si="2"/>
        <v>JUN</v>
      </c>
      <c r="J27" t="str">
        <f t="shared" si="3"/>
        <v>CA</v>
      </c>
    </row>
    <row r="28" spans="1:10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 t="str">
        <f t="shared" si="0"/>
        <v>Standard Price</v>
      </c>
      <c r="H28" t="str">
        <f t="shared" si="1"/>
        <v>11</v>
      </c>
      <c r="I28" t="str">
        <f t="shared" si="2"/>
        <v>JUL</v>
      </c>
      <c r="J28" t="str">
        <f t="shared" si="3"/>
        <v>CA</v>
      </c>
    </row>
    <row r="29" spans="1:10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" t="str">
        <f t="shared" si="0"/>
        <v>Standard Price</v>
      </c>
      <c r="H29" t="str">
        <f t="shared" si="1"/>
        <v>16</v>
      </c>
      <c r="I29" t="str">
        <f t="shared" si="2"/>
        <v>APR</v>
      </c>
      <c r="J29" t="str">
        <f t="shared" si="3"/>
        <v>ES</v>
      </c>
    </row>
    <row r="30" spans="1:10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 t="str">
        <f t="shared" si="0"/>
        <v>Standard Price</v>
      </c>
      <c r="H30" t="str">
        <f t="shared" si="1"/>
        <v>07</v>
      </c>
      <c r="I30" t="str">
        <f t="shared" si="2"/>
        <v>MAR</v>
      </c>
      <c r="J30" t="str">
        <f t="shared" si="3"/>
        <v>CA</v>
      </c>
    </row>
    <row r="31" spans="1:10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 t="str">
        <f t="shared" si="0"/>
        <v>Standard Price</v>
      </c>
      <c r="H31" t="str">
        <f t="shared" si="1"/>
        <v>13</v>
      </c>
      <c r="I31" t="str">
        <f t="shared" si="2"/>
        <v>APR</v>
      </c>
      <c r="J31" t="str">
        <f t="shared" si="3"/>
        <v>CA</v>
      </c>
    </row>
    <row r="32" spans="1:10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 t="str">
        <f t="shared" si="0"/>
        <v>Standard Price</v>
      </c>
      <c r="H32" t="str">
        <f t="shared" si="1"/>
        <v>24</v>
      </c>
      <c r="I32" t="str">
        <f t="shared" si="2"/>
        <v>MAY</v>
      </c>
      <c r="J32" t="str">
        <f t="shared" si="3"/>
        <v>CA</v>
      </c>
    </row>
    <row r="33" spans="1:10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 t="str">
        <f t="shared" si="0"/>
        <v>Standard Price</v>
      </c>
      <c r="H33" t="str">
        <f t="shared" si="1"/>
        <v>02</v>
      </c>
      <c r="I33" t="str">
        <f t="shared" si="2"/>
        <v>DEC</v>
      </c>
      <c r="J33" t="str">
        <f t="shared" si="3"/>
        <v>CA</v>
      </c>
    </row>
    <row r="34" spans="1:10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 t="str">
        <f t="shared" si="0"/>
        <v>High Price</v>
      </c>
      <c r="H34" t="str">
        <f t="shared" si="1"/>
        <v>17</v>
      </c>
      <c r="I34" t="str">
        <f t="shared" si="2"/>
        <v>JUN</v>
      </c>
      <c r="J34" t="str">
        <f t="shared" si="3"/>
        <v>IN</v>
      </c>
    </row>
    <row r="35" spans="1:10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 t="str">
        <f t="shared" si="0"/>
        <v>Standard Price</v>
      </c>
      <c r="H35" t="str">
        <f t="shared" si="1"/>
        <v>09</v>
      </c>
      <c r="I35" t="str">
        <f t="shared" si="2"/>
        <v>JUL</v>
      </c>
      <c r="J35" t="str">
        <f t="shared" si="3"/>
        <v>FR</v>
      </c>
    </row>
    <row r="36" spans="1:10" ht="15.75" customHeight="1" x14ac:dyDescent="0.25">
      <c r="C36" s="2"/>
      <c r="G36" s="2"/>
    </row>
    <row r="37" spans="1:10" ht="15.75" customHeight="1" x14ac:dyDescent="0.25">
      <c r="G37" s="2"/>
    </row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Prakash R 8939434627</cp:lastModifiedBy>
  <dcterms:created xsi:type="dcterms:W3CDTF">2026-09-16T18:07:37Z</dcterms:created>
  <dcterms:modified xsi:type="dcterms:W3CDTF">2026-09-16T18:07:37Z</dcterms:modified>
</cp:coreProperties>
</file>